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vin\Desktop\PythonProject1\"/>
    </mc:Choice>
  </mc:AlternateContent>
  <xr:revisionPtr revIDLastSave="0" documentId="13_ncr:1_{5BAC5663-11DE-4167-84EC-427D8240DE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ery" sheetId="4" r:id="rId1"/>
    <sheet name="data from video" sheetId="1" r:id="rId2"/>
    <sheet name="cal for range" sheetId="2" r:id="rId3"/>
    <sheet name="data sanity check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9" i="2"/>
  <c r="F8" i="2"/>
  <c r="F7" i="2"/>
  <c r="F6" i="2"/>
  <c r="F5" i="2"/>
  <c r="F4" i="2"/>
  <c r="F3" i="2"/>
  <c r="C4" i="2"/>
  <c r="C10" i="2"/>
  <c r="C9" i="2"/>
  <c r="C8" i="2"/>
  <c r="C7" i="2"/>
  <c r="C6" i="2"/>
  <c r="C5" i="2"/>
  <c r="C3" i="2"/>
  <c r="I12" i="1"/>
  <c r="I14" i="1" s="1"/>
  <c r="K8" i="1"/>
  <c r="K9" i="1"/>
  <c r="K10" i="1"/>
  <c r="K5" i="1"/>
  <c r="K4" i="1"/>
  <c r="G5" i="1"/>
  <c r="G4" i="1"/>
  <c r="E10" i="1"/>
  <c r="E9" i="1"/>
  <c r="E8" i="1"/>
  <c r="E7" i="1"/>
  <c r="E6" i="1"/>
  <c r="F10" i="1"/>
  <c r="F9" i="1"/>
  <c r="G9" i="1" s="1"/>
  <c r="F8" i="1"/>
  <c r="F7" i="1"/>
  <c r="G7" i="1" s="1"/>
  <c r="F6" i="1"/>
  <c r="D14" i="1"/>
  <c r="D16" i="1" s="1"/>
  <c r="G8" i="1" l="1"/>
  <c r="H8" i="1" s="1"/>
  <c r="G10" i="1"/>
  <c r="H10" i="1" s="1"/>
  <c r="G6" i="1"/>
  <c r="H6" i="1" s="1"/>
  <c r="H4" i="1"/>
  <c r="H5" i="1"/>
  <c r="H7" i="1"/>
  <c r="H9" i="1"/>
  <c r="K6" i="1"/>
</calcChain>
</file>

<file path=xl/sharedStrings.xml><?xml version="1.0" encoding="utf-8"?>
<sst xmlns="http://schemas.openxmlformats.org/spreadsheetml/2006/main" count="112" uniqueCount="104">
  <si>
    <t>Sr.No</t>
  </si>
  <si>
    <t>Object type</t>
  </si>
  <si>
    <t>Start time</t>
  </si>
  <si>
    <t>End time</t>
  </si>
  <si>
    <t>Pad 1</t>
  </si>
  <si>
    <t>Pad 2</t>
  </si>
  <si>
    <t>Pad3</t>
  </si>
  <si>
    <t>Pad4</t>
  </si>
  <si>
    <t>Car1</t>
  </si>
  <si>
    <t>Cyc1</t>
  </si>
  <si>
    <t>Car2</t>
  </si>
  <si>
    <t>Total frames</t>
  </si>
  <si>
    <t xml:space="preserve">As per video </t>
  </si>
  <si>
    <t xml:space="preserve">Total </t>
  </si>
  <si>
    <t>frames in data</t>
  </si>
  <si>
    <t>Frame rate rendered</t>
  </si>
  <si>
    <t>Frames/sec</t>
  </si>
  <si>
    <t>Frame start</t>
  </si>
  <si>
    <t>Frame end</t>
  </si>
  <si>
    <t>Sec is total duration for video(8min, 37sec)</t>
  </si>
  <si>
    <t>Manual detection pipeline from the video provided in the lidar project file</t>
  </si>
  <si>
    <t>No of frames</t>
  </si>
  <si>
    <t>Detection frame number</t>
  </si>
  <si>
    <t>from Algo</t>
  </si>
  <si>
    <t>Walking around1</t>
  </si>
  <si>
    <t>Walking around2</t>
  </si>
  <si>
    <t>Car driver1</t>
  </si>
  <si>
    <t>Half car + Half big vehicle</t>
  </si>
  <si>
    <t>Mix of cyclist and pedistrian</t>
  </si>
  <si>
    <t>Cyclist + pedistrian</t>
  </si>
  <si>
    <t>No of frame approximate calculation based on video provided</t>
  </si>
  <si>
    <t xml:space="preserve">Accuracy </t>
  </si>
  <si>
    <t>Car --&gt; detected as object (as small portion of car was visible.</t>
  </si>
  <si>
    <t>real total objects</t>
  </si>
  <si>
    <t xml:space="preserve">Correctly classified </t>
  </si>
  <si>
    <t>Remarks</t>
  </si>
  <si>
    <t>Typical Speed of vehicle (Km/h)</t>
  </si>
  <si>
    <r>
      <t>braking deceleration (m/s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</si>
  <si>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Typical range required for Lidar sensor</t>
  </si>
  <si>
    <t>Break reaction time (S)</t>
  </si>
  <si>
    <t>Typical Speed of vehicle (m/s)</t>
  </si>
  <si>
    <t>Folders analyzed</t>
  </si>
  <si>
    <t>Missing / NaN values</t>
  </si>
  <si>
    <t>Metric</t>
  </si>
  <si>
    <t>Spec</t>
  </si>
  <si>
    <t>N</t>
  </si>
  <si>
    <t>Mean</t>
  </si>
  <si>
    <t>StdDev</t>
  </si>
  <si>
    <t>CV_%</t>
  </si>
  <si>
    <t>Min</t>
  </si>
  <si>
    <t>Max</t>
  </si>
  <si>
    <t>Median</t>
  </si>
  <si>
    <t>Points per frame</t>
  </si>
  <si>
    <t>-</t>
  </si>
  <si>
    <t>Range (m)</t>
  </si>
  <si>
    <t>5 - 250</t>
  </si>
  <si>
    <t>Horizontal FOV (deg)</t>
  </si>
  <si>
    <t>&lt;= 70</t>
  </si>
  <si>
    <t>Vertical FOV (deg)</t>
  </si>
  <si>
    <t>&lt;= 30</t>
  </si>
  <si>
    <t>Update rate (Hz)</t>
  </si>
  <si>
    <t>1 - 30</t>
  </si>
  <si>
    <t>Frame period (s)</t>
  </si>
  <si>
    <t xml:space="preserve">Total points </t>
  </si>
  <si>
    <t>duration (s)</t>
  </si>
  <si>
    <t>Start time (mm:ss)</t>
  </si>
  <si>
    <t>End time (mm:ss)</t>
  </si>
  <si>
    <t>No.</t>
  </si>
  <si>
    <t>Object</t>
  </si>
  <si>
    <t>Video start–end</t>
  </si>
  <si>
    <t>Expected frames</t>
  </si>
  <si>
    <t>Detected frames (algorithm)</t>
  </si>
  <si>
    <t>Detected Frames</t>
  </si>
  <si>
    <t>Detected class in pipeline</t>
  </si>
  <si>
    <t>Counted as correct</t>
  </si>
  <si>
    <t>Pedestrian 1</t>
  </si>
  <si>
    <t>0:14–0:42</t>
  </si>
  <si>
    <t>53–89</t>
  </si>
  <si>
    <t>Pedestrian (walking around)</t>
  </si>
  <si>
    <t>yes</t>
  </si>
  <si>
    <t>Pedestrian 2</t>
  </si>
  <si>
    <t>59–78</t>
  </si>
  <si>
    <t>Pedestrian 3</t>
  </si>
  <si>
    <t>2:22–2:38</t>
  </si>
  <si>
    <t>199–204</t>
  </si>
  <si>
    <t>Pedestrian (driver walking to car)</t>
  </si>
  <si>
    <t>Car 1</t>
  </si>
  <si>
    <t>2:45–2:50</t>
  </si>
  <si>
    <t>205–208</t>
  </si>
  <si>
    <t>Object (only part of the car visible)</t>
  </si>
  <si>
    <t>no</t>
  </si>
  <si>
    <t>Cyclist 1</t>
  </si>
  <si>
    <t>4:41–5:14</t>
  </si>
  <si>
    <t>348–389</t>
  </si>
  <si>
    <t>Cyclist, partly Pedestrian</t>
  </si>
  <si>
    <t>yes (majority)</t>
  </si>
  <si>
    <t>Car 2</t>
  </si>
  <si>
    <t>4:42–5:10</t>
  </si>
  <si>
    <t>359–372</t>
  </si>
  <si>
    <t>Car, partly Big Vehicle</t>
  </si>
  <si>
    <t>Pedestrian 4</t>
  </si>
  <si>
    <t>7:11–8:27</t>
  </si>
  <si>
    <t>516–588</t>
  </si>
  <si>
    <t>Pedestrian, partly Cyclist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</si>
</sst>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472C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E2D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43" fontId="0" fillId="0" borderId="0" xfId="1" applyFont="1"/>
    <xf numFmtId="0" fontId="2" fillId="2" borderId="1" xfId="0" applyFont="1" applyFill="1" applyBorder="1"/>
    <xf numFmtId="10" fontId="2" fillId="2" borderId="1" xfId="2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43" fontId="0" fillId="0" borderId="1" xfId="1" applyFont="1" applyBorder="1" applyAlignment="1"/>
    <xf numFmtId="164" fontId="0" fillId="0" borderId="1" xfId="1" applyNumberFormat="1" applyFont="1" applyBorder="1"/>
    <xf numFmtId="0" fontId="0" fillId="3" borderId="1" xfId="0" applyFill="1" applyBorder="1" applyAlignment="1">
      <alignment horizontal="center"/>
    </xf>
    <xf numFmtId="43" fontId="0" fillId="3" borderId="1" xfId="1" applyFont="1" applyFill="1" applyBorder="1" applyAlignment="1"/>
    <xf numFmtId="164" fontId="0" fillId="3" borderId="1" xfId="1" applyNumberFormat="1" applyFont="1" applyFill="1" applyBorder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2" fontId="0" fillId="5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0" xfId="0" applyFont="1" applyFill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2C28-6A5D-4047-8356-830A9D08152D}">
  <dimension ref="A1:H8"/>
  <sheetViews>
    <sheetView tabSelected="1" zoomScale="131" workbookViewId="0">
      <selection activeCell="C15" sqref="C15"/>
    </sheetView>
  </sheetViews>
  <sheetFormatPr defaultRowHeight="14.4" x14ac:dyDescent="0.3"/>
  <cols>
    <col min="1" max="1" width="3.109375" style="41" bestFit="1" customWidth="1"/>
    <col min="2" max="2" width="15.109375" style="41" customWidth="1"/>
    <col min="3" max="3" width="12.33203125" style="41" customWidth="1"/>
    <col min="4" max="4" width="12.109375" style="41" customWidth="1"/>
    <col min="5" max="5" width="14.109375" style="41" customWidth="1"/>
    <col min="6" max="6" width="8.6640625" style="41" customWidth="1"/>
    <col min="7" max="7" width="33.5546875" customWidth="1"/>
    <col min="8" max="8" width="25.21875" customWidth="1"/>
  </cols>
  <sheetData>
    <row r="1" spans="1:8" ht="20.399999999999999" x14ac:dyDescent="0.3">
      <c r="A1" s="38" t="s">
        <v>67</v>
      </c>
      <c r="B1" s="38" t="s">
        <v>68</v>
      </c>
      <c r="C1" s="38" t="s">
        <v>69</v>
      </c>
      <c r="D1" s="38" t="s">
        <v>70</v>
      </c>
      <c r="E1" s="38" t="s">
        <v>71</v>
      </c>
      <c r="F1" s="38" t="s">
        <v>72</v>
      </c>
      <c r="G1" s="34" t="s">
        <v>73</v>
      </c>
      <c r="H1" s="34" t="s">
        <v>74</v>
      </c>
    </row>
    <row r="2" spans="1:8" x14ac:dyDescent="0.3">
      <c r="A2" s="39">
        <v>1</v>
      </c>
      <c r="B2" s="39" t="s">
        <v>75</v>
      </c>
      <c r="C2" s="39" t="s">
        <v>76</v>
      </c>
      <c r="D2" s="39">
        <v>39</v>
      </c>
      <c r="E2" s="39" t="s">
        <v>77</v>
      </c>
      <c r="F2" s="39">
        <v>36</v>
      </c>
      <c r="G2" s="35" t="s">
        <v>78</v>
      </c>
      <c r="H2" s="35" t="s">
        <v>79</v>
      </c>
    </row>
    <row r="3" spans="1:8" x14ac:dyDescent="0.3">
      <c r="A3" s="39">
        <v>2</v>
      </c>
      <c r="B3" s="39" t="s">
        <v>80</v>
      </c>
      <c r="C3" s="39" t="s">
        <v>76</v>
      </c>
      <c r="D3" s="39">
        <v>39</v>
      </c>
      <c r="E3" s="39" t="s">
        <v>81</v>
      </c>
      <c r="F3" s="39">
        <v>19</v>
      </c>
      <c r="G3" s="35" t="s">
        <v>78</v>
      </c>
      <c r="H3" s="35" t="s">
        <v>79</v>
      </c>
    </row>
    <row r="4" spans="1:8" x14ac:dyDescent="0.3">
      <c r="A4" s="39">
        <v>3</v>
      </c>
      <c r="B4" s="39" t="s">
        <v>82</v>
      </c>
      <c r="C4" s="39" t="s">
        <v>83</v>
      </c>
      <c r="D4" s="39">
        <v>23</v>
      </c>
      <c r="E4" s="39" t="s">
        <v>84</v>
      </c>
      <c r="F4" s="39">
        <v>5</v>
      </c>
      <c r="G4" s="35" t="s">
        <v>85</v>
      </c>
      <c r="H4" s="35" t="s">
        <v>79</v>
      </c>
    </row>
    <row r="5" spans="1:8" x14ac:dyDescent="0.3">
      <c r="A5" s="40">
        <v>4</v>
      </c>
      <c r="B5" s="40" t="s">
        <v>86</v>
      </c>
      <c r="C5" s="40" t="s">
        <v>87</v>
      </c>
      <c r="D5" s="40">
        <v>7</v>
      </c>
      <c r="E5" s="40" t="s">
        <v>88</v>
      </c>
      <c r="F5" s="40">
        <v>3</v>
      </c>
      <c r="G5" s="36" t="s">
        <v>89</v>
      </c>
      <c r="H5" s="37" t="s">
        <v>90</v>
      </c>
    </row>
    <row r="6" spans="1:8" x14ac:dyDescent="0.3">
      <c r="A6" s="40">
        <v>5</v>
      </c>
      <c r="B6" s="40" t="s">
        <v>91</v>
      </c>
      <c r="C6" s="40" t="s">
        <v>92</v>
      </c>
      <c r="D6" s="40">
        <v>46</v>
      </c>
      <c r="E6" s="40" t="s">
        <v>93</v>
      </c>
      <c r="F6" s="40">
        <v>41</v>
      </c>
      <c r="G6" s="36" t="s">
        <v>94</v>
      </c>
      <c r="H6" s="36" t="s">
        <v>95</v>
      </c>
    </row>
    <row r="7" spans="1:8" x14ac:dyDescent="0.3">
      <c r="A7" s="40">
        <v>6</v>
      </c>
      <c r="B7" s="40" t="s">
        <v>96</v>
      </c>
      <c r="C7" s="40" t="s">
        <v>97</v>
      </c>
      <c r="D7" s="40">
        <v>39</v>
      </c>
      <c r="E7" s="40" t="s">
        <v>98</v>
      </c>
      <c r="F7" s="40">
        <v>13</v>
      </c>
      <c r="G7" s="36" t="s">
        <v>99</v>
      </c>
      <c r="H7" s="36" t="s">
        <v>95</v>
      </c>
    </row>
    <row r="8" spans="1:8" x14ac:dyDescent="0.3">
      <c r="A8" s="40">
        <v>7</v>
      </c>
      <c r="B8" s="40" t="s">
        <v>100</v>
      </c>
      <c r="C8" s="40" t="s">
        <v>101</v>
      </c>
      <c r="D8" s="40">
        <v>105</v>
      </c>
      <c r="E8" s="40" t="s">
        <v>102</v>
      </c>
      <c r="F8" s="40">
        <v>72</v>
      </c>
      <c r="G8" s="36" t="s">
        <v>103</v>
      </c>
      <c r="H8" s="3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workbookViewId="0">
      <selection activeCell="D21" sqref="D21"/>
    </sheetView>
  </sheetViews>
  <sheetFormatPr defaultRowHeight="14.4" x14ac:dyDescent="0.3"/>
  <cols>
    <col min="2" max="2" width="10.33203125" bestFit="1" customWidth="1"/>
    <col min="3" max="4" width="17.88671875" customWidth="1"/>
    <col min="5" max="5" width="14" hidden="1" customWidth="1"/>
    <col min="6" max="6" width="16.109375" hidden="1" customWidth="1"/>
    <col min="7" max="8" width="16.109375" customWidth="1"/>
    <col min="9" max="9" width="12.109375" bestFit="1" customWidth="1"/>
    <col min="10" max="10" width="16.77734375" bestFit="1" customWidth="1"/>
    <col min="11" max="11" width="11.33203125" bestFit="1" customWidth="1"/>
    <col min="12" max="12" width="51.88671875" bestFit="1" customWidth="1"/>
  </cols>
  <sheetData>
    <row r="1" spans="1:17" x14ac:dyDescent="0.3">
      <c r="A1" s="4" t="s">
        <v>20</v>
      </c>
    </row>
    <row r="2" spans="1:17" s="4" customFormat="1" x14ac:dyDescent="0.3">
      <c r="C2" s="29" t="s">
        <v>30</v>
      </c>
      <c r="D2" s="30"/>
      <c r="E2" s="30"/>
      <c r="F2" s="30"/>
      <c r="G2" s="30"/>
      <c r="H2" s="31"/>
      <c r="I2" s="28" t="s">
        <v>22</v>
      </c>
      <c r="J2" s="28"/>
      <c r="K2" s="24" t="s">
        <v>23</v>
      </c>
      <c r="L2" s="24"/>
    </row>
    <row r="3" spans="1:17" s="4" customFormat="1" x14ac:dyDescent="0.3">
      <c r="A3" s="5" t="s">
        <v>0</v>
      </c>
      <c r="B3" s="5" t="s">
        <v>1</v>
      </c>
      <c r="C3" s="20" t="s">
        <v>65</v>
      </c>
      <c r="D3" s="20" t="s">
        <v>66</v>
      </c>
      <c r="E3" s="20" t="s">
        <v>2</v>
      </c>
      <c r="F3" s="20" t="s">
        <v>3</v>
      </c>
      <c r="G3" s="20" t="s">
        <v>64</v>
      </c>
      <c r="H3" s="20" t="s">
        <v>21</v>
      </c>
      <c r="I3" s="20" t="s">
        <v>17</v>
      </c>
      <c r="J3" s="20" t="s">
        <v>18</v>
      </c>
      <c r="K3" s="25" t="s">
        <v>11</v>
      </c>
      <c r="L3" s="26" t="s">
        <v>35</v>
      </c>
    </row>
    <row r="4" spans="1:17" x14ac:dyDescent="0.3">
      <c r="A4" s="2">
        <v>1</v>
      </c>
      <c r="B4" s="2" t="s">
        <v>4</v>
      </c>
      <c r="C4" s="21">
        <v>9.7222222222222224E-3</v>
      </c>
      <c r="D4" s="21">
        <v>2.9166666666666667E-2</v>
      </c>
      <c r="E4" s="22">
        <v>14</v>
      </c>
      <c r="F4" s="22">
        <v>42</v>
      </c>
      <c r="G4" s="22">
        <f t="shared" ref="G4:G10" si="0">+F4-E4</f>
        <v>28</v>
      </c>
      <c r="H4" s="22">
        <f t="shared" ref="H4:H10" si="1">ROUNDUP(G4*$D$16,0)</f>
        <v>39</v>
      </c>
      <c r="I4" s="23">
        <v>53</v>
      </c>
      <c r="J4" s="23">
        <v>89</v>
      </c>
      <c r="K4" s="27">
        <f>+J4-I4</f>
        <v>36</v>
      </c>
      <c r="L4" s="27" t="s">
        <v>24</v>
      </c>
    </row>
    <row r="5" spans="1:17" x14ac:dyDescent="0.3">
      <c r="A5" s="2">
        <v>2</v>
      </c>
      <c r="B5" s="2" t="s">
        <v>5</v>
      </c>
      <c r="C5" s="21">
        <v>9.7222222222222224E-3</v>
      </c>
      <c r="D5" s="21">
        <v>2.9166666666666667E-2</v>
      </c>
      <c r="E5" s="22">
        <v>14</v>
      </c>
      <c r="F5" s="22">
        <v>42</v>
      </c>
      <c r="G5" s="22">
        <f t="shared" si="0"/>
        <v>28</v>
      </c>
      <c r="H5" s="22">
        <f t="shared" si="1"/>
        <v>39</v>
      </c>
      <c r="I5" s="23">
        <v>59</v>
      </c>
      <c r="J5" s="23">
        <v>78</v>
      </c>
      <c r="K5" s="27">
        <f>+J5-I5</f>
        <v>19</v>
      </c>
      <c r="L5" s="27" t="s">
        <v>25</v>
      </c>
    </row>
    <row r="6" spans="1:17" x14ac:dyDescent="0.3">
      <c r="A6" s="2">
        <v>3</v>
      </c>
      <c r="B6" s="2" t="s">
        <v>6</v>
      </c>
      <c r="C6" s="21">
        <v>9.8611111111111108E-2</v>
      </c>
      <c r="D6" s="21">
        <v>0.10972222222222222</v>
      </c>
      <c r="E6" s="22">
        <f>2*60+22</f>
        <v>142</v>
      </c>
      <c r="F6" s="22">
        <f>2*60+38</f>
        <v>158</v>
      </c>
      <c r="G6" s="22">
        <f t="shared" si="0"/>
        <v>16</v>
      </c>
      <c r="H6" s="22">
        <f t="shared" si="1"/>
        <v>23</v>
      </c>
      <c r="I6" s="23">
        <v>199</v>
      </c>
      <c r="J6" s="23">
        <v>204</v>
      </c>
      <c r="K6" s="27">
        <f t="shared" ref="K6:K10" si="2">+J6-I6</f>
        <v>5</v>
      </c>
      <c r="L6" s="27" t="s">
        <v>26</v>
      </c>
    </row>
    <row r="7" spans="1:17" x14ac:dyDescent="0.3">
      <c r="A7" s="2">
        <v>4</v>
      </c>
      <c r="B7" s="2" t="s">
        <v>8</v>
      </c>
      <c r="C7" s="21">
        <v>0.11458333333333333</v>
      </c>
      <c r="D7" s="21">
        <v>0.11805555555555555</v>
      </c>
      <c r="E7" s="22">
        <f>2*60+45</f>
        <v>165</v>
      </c>
      <c r="F7" s="22">
        <f>2*60+50</f>
        <v>170</v>
      </c>
      <c r="G7" s="22">
        <f t="shared" si="0"/>
        <v>5</v>
      </c>
      <c r="H7" s="22">
        <f t="shared" si="1"/>
        <v>7</v>
      </c>
      <c r="I7" s="23">
        <v>205</v>
      </c>
      <c r="J7" s="23">
        <v>208</v>
      </c>
      <c r="K7" s="27">
        <v>3</v>
      </c>
      <c r="L7" s="27" t="s">
        <v>32</v>
      </c>
    </row>
    <row r="8" spans="1:17" x14ac:dyDescent="0.3">
      <c r="A8" s="2">
        <v>5</v>
      </c>
      <c r="B8" s="2" t="s">
        <v>9</v>
      </c>
      <c r="C8" s="21">
        <v>0.19513888888888889</v>
      </c>
      <c r="D8" s="21">
        <v>0.21805555555555556</v>
      </c>
      <c r="E8" s="22">
        <f>4*60+41</f>
        <v>281</v>
      </c>
      <c r="F8" s="22">
        <f>5*60+14</f>
        <v>314</v>
      </c>
      <c r="G8" s="22">
        <f t="shared" si="0"/>
        <v>33</v>
      </c>
      <c r="H8" s="22">
        <f t="shared" si="1"/>
        <v>46</v>
      </c>
      <c r="I8" s="23">
        <v>348</v>
      </c>
      <c r="J8" s="23">
        <v>389</v>
      </c>
      <c r="K8" s="27">
        <f t="shared" si="2"/>
        <v>41</v>
      </c>
      <c r="L8" s="27" t="s">
        <v>29</v>
      </c>
    </row>
    <row r="9" spans="1:17" x14ac:dyDescent="0.3">
      <c r="A9" s="2">
        <v>6</v>
      </c>
      <c r="B9" s="2" t="s">
        <v>10</v>
      </c>
      <c r="C9" s="21">
        <v>0.19583333333333333</v>
      </c>
      <c r="D9" s="21">
        <v>0.21527777777777779</v>
      </c>
      <c r="E9" s="22">
        <f>4*60+42</f>
        <v>282</v>
      </c>
      <c r="F9" s="22">
        <f>5*60+10</f>
        <v>310</v>
      </c>
      <c r="G9" s="22">
        <f t="shared" si="0"/>
        <v>28</v>
      </c>
      <c r="H9" s="22">
        <f t="shared" si="1"/>
        <v>39</v>
      </c>
      <c r="I9" s="23">
        <v>359</v>
      </c>
      <c r="J9" s="23">
        <v>372</v>
      </c>
      <c r="K9" s="27">
        <f t="shared" si="2"/>
        <v>13</v>
      </c>
      <c r="L9" s="27" t="s">
        <v>27</v>
      </c>
    </row>
    <row r="10" spans="1:17" x14ac:dyDescent="0.3">
      <c r="A10" s="2">
        <v>7</v>
      </c>
      <c r="B10" s="2" t="s">
        <v>7</v>
      </c>
      <c r="C10" s="21">
        <v>0.29930555555555555</v>
      </c>
      <c r="D10" s="21">
        <v>0.35208333333333336</v>
      </c>
      <c r="E10" s="22">
        <f>7*60+11</f>
        <v>431</v>
      </c>
      <c r="F10" s="22">
        <f>8*60+27</f>
        <v>507</v>
      </c>
      <c r="G10" s="22">
        <f t="shared" si="0"/>
        <v>76</v>
      </c>
      <c r="H10" s="22">
        <f t="shared" si="1"/>
        <v>105</v>
      </c>
      <c r="I10" s="23">
        <v>516</v>
      </c>
      <c r="J10" s="23">
        <v>588</v>
      </c>
      <c r="K10" s="27">
        <f t="shared" si="2"/>
        <v>72</v>
      </c>
      <c r="L10" s="27" t="s">
        <v>28</v>
      </c>
    </row>
    <row r="12" spans="1:17" x14ac:dyDescent="0.3">
      <c r="H12" s="9" t="s">
        <v>33</v>
      </c>
      <c r="I12" s="2">
        <f>+COUNT(I4:I10)</f>
        <v>7</v>
      </c>
    </row>
    <row r="13" spans="1:17" x14ac:dyDescent="0.3">
      <c r="H13" s="9" t="s">
        <v>34</v>
      </c>
      <c r="I13" s="2">
        <v>6</v>
      </c>
    </row>
    <row r="14" spans="1:17" x14ac:dyDescent="0.3">
      <c r="C14" t="s">
        <v>12</v>
      </c>
      <c r="D14">
        <f>8*60+37</f>
        <v>517</v>
      </c>
      <c r="E14" t="s">
        <v>19</v>
      </c>
      <c r="H14" s="7" t="s">
        <v>31</v>
      </c>
      <c r="I14" s="8">
        <f>+I13/I12</f>
        <v>0.8571428571428571</v>
      </c>
    </row>
    <row r="15" spans="1:17" x14ac:dyDescent="0.3">
      <c r="C15" t="s">
        <v>13</v>
      </c>
      <c r="D15">
        <v>714</v>
      </c>
      <c r="E15" t="s">
        <v>14</v>
      </c>
    </row>
    <row r="16" spans="1:17" x14ac:dyDescent="0.3">
      <c r="C16" t="s">
        <v>15</v>
      </c>
      <c r="D16">
        <f>+D15/D14</f>
        <v>1.3810444874274661</v>
      </c>
      <c r="E16" t="s">
        <v>16</v>
      </c>
      <c r="M16" s="32"/>
      <c r="N16" s="32"/>
      <c r="O16" s="32"/>
      <c r="P16" s="32"/>
      <c r="Q16" s="32"/>
    </row>
    <row r="17" spans="4:17" x14ac:dyDescent="0.3">
      <c r="M17" s="32"/>
      <c r="N17" s="32"/>
      <c r="O17" s="32"/>
      <c r="P17" s="32"/>
      <c r="Q17" s="32"/>
    </row>
    <row r="18" spans="4:17" x14ac:dyDescent="0.3">
      <c r="M18" s="32"/>
      <c r="N18" s="32"/>
      <c r="O18" s="32"/>
      <c r="P18" s="32"/>
      <c r="Q18" s="32"/>
    </row>
    <row r="19" spans="4:17" x14ac:dyDescent="0.3">
      <c r="M19" s="32"/>
      <c r="N19" s="32"/>
      <c r="O19" s="32"/>
      <c r="P19" s="32"/>
      <c r="Q19" s="32"/>
    </row>
    <row r="20" spans="4:17" x14ac:dyDescent="0.3">
      <c r="M20" s="32"/>
      <c r="N20" s="32"/>
      <c r="O20" s="32"/>
      <c r="P20" s="32"/>
      <c r="Q20" s="32"/>
    </row>
    <row r="21" spans="4:17" x14ac:dyDescent="0.3">
      <c r="M21" s="33"/>
      <c r="N21" s="33"/>
      <c r="O21" s="33"/>
      <c r="P21" s="32"/>
      <c r="Q21" s="32"/>
    </row>
    <row r="22" spans="4:17" x14ac:dyDescent="0.3">
      <c r="M22" s="33"/>
      <c r="N22" s="33"/>
      <c r="O22" s="33"/>
      <c r="P22" s="32"/>
      <c r="Q22" s="32"/>
    </row>
    <row r="23" spans="4:17" x14ac:dyDescent="0.3">
      <c r="D23" s="3"/>
      <c r="M23" s="32"/>
      <c r="N23" s="32"/>
      <c r="O23" s="32"/>
      <c r="P23" s="32"/>
      <c r="Q23" s="32"/>
    </row>
    <row r="24" spans="4:17" x14ac:dyDescent="0.3">
      <c r="E24" s="6"/>
      <c r="M24" s="32"/>
      <c r="N24" s="32"/>
      <c r="O24" s="32"/>
      <c r="P24" s="32"/>
      <c r="Q24" s="32"/>
    </row>
  </sheetData>
  <mergeCells count="2">
    <mergeCell ref="I2:J2"/>
    <mergeCell ref="C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AEC7-4D50-47E3-A86D-13507FEA3352}">
  <dimension ref="B2:F10"/>
  <sheetViews>
    <sheetView workbookViewId="0">
      <selection activeCell="F11" sqref="F11"/>
    </sheetView>
  </sheetViews>
  <sheetFormatPr defaultRowHeight="14.4" x14ac:dyDescent="0.3"/>
  <cols>
    <col min="2" max="6" width="18.6640625" customWidth="1"/>
  </cols>
  <sheetData>
    <row r="2" spans="2:6" ht="43.2" x14ac:dyDescent="0.3">
      <c r="B2" s="10" t="s">
        <v>36</v>
      </c>
      <c r="C2" s="10" t="s">
        <v>40</v>
      </c>
      <c r="D2" s="10" t="s">
        <v>39</v>
      </c>
      <c r="E2" s="10" t="s">
        <v>37</v>
      </c>
      <c r="F2" s="11" t="s">
        <v>38</v>
      </c>
    </row>
    <row r="3" spans="2:6" x14ac:dyDescent="0.3">
      <c r="B3" s="2">
        <v>90</v>
      </c>
      <c r="C3" s="1">
        <f>+B3/3.6</f>
        <v>25</v>
      </c>
      <c r="D3" s="2">
        <v>1.5</v>
      </c>
      <c r="E3" s="2">
        <v>5.3</v>
      </c>
      <c r="F3" s="13">
        <f>+C3*D3+(C3*C3/2/E3)</f>
        <v>96.462264150943398</v>
      </c>
    </row>
    <row r="4" spans="2:6" x14ac:dyDescent="0.3">
      <c r="B4" s="2">
        <v>100</v>
      </c>
      <c r="C4" s="12">
        <f>+B4/3.6</f>
        <v>27.777777777777779</v>
      </c>
      <c r="D4" s="2">
        <v>1.5</v>
      </c>
      <c r="E4" s="2">
        <v>5.3</v>
      </c>
      <c r="F4" s="13">
        <f t="shared" ref="F4:F10" si="0">+C4*D4+(C4*C4/2/E4)</f>
        <v>114.45958537153507</v>
      </c>
    </row>
    <row r="5" spans="2:6" x14ac:dyDescent="0.3">
      <c r="B5" s="2">
        <v>110</v>
      </c>
      <c r="C5" s="12">
        <f t="shared" ref="C5:C10" si="1">+B5/3.6</f>
        <v>30.555555555555554</v>
      </c>
      <c r="D5" s="2">
        <v>1.5</v>
      </c>
      <c r="E5" s="2">
        <v>5.3</v>
      </c>
      <c r="F5" s="13">
        <f t="shared" si="0"/>
        <v>133.91276496622407</v>
      </c>
    </row>
    <row r="6" spans="2:6" x14ac:dyDescent="0.3">
      <c r="B6" s="2">
        <v>120</v>
      </c>
      <c r="C6" s="12">
        <f t="shared" si="1"/>
        <v>33.333333333333336</v>
      </c>
      <c r="D6" s="2">
        <v>1.5</v>
      </c>
      <c r="E6" s="2">
        <v>5.3</v>
      </c>
      <c r="F6" s="13">
        <f t="shared" si="0"/>
        <v>154.82180293501051</v>
      </c>
    </row>
    <row r="7" spans="2:6" x14ac:dyDescent="0.3">
      <c r="B7" s="2">
        <v>130</v>
      </c>
      <c r="C7" s="12">
        <f t="shared" si="1"/>
        <v>36.111111111111107</v>
      </c>
      <c r="D7" s="2">
        <v>1.5</v>
      </c>
      <c r="E7" s="2">
        <v>5.3</v>
      </c>
      <c r="F7" s="13">
        <f t="shared" si="0"/>
        <v>177.18669927789421</v>
      </c>
    </row>
    <row r="8" spans="2:6" x14ac:dyDescent="0.3">
      <c r="B8" s="14">
        <v>140</v>
      </c>
      <c r="C8" s="15">
        <f t="shared" si="1"/>
        <v>38.888888888888886</v>
      </c>
      <c r="D8" s="14">
        <v>1.5</v>
      </c>
      <c r="E8" s="14">
        <v>5.3</v>
      </c>
      <c r="F8" s="16">
        <f t="shared" si="0"/>
        <v>201.00745399487533</v>
      </c>
    </row>
    <row r="9" spans="2:6" x14ac:dyDescent="0.3">
      <c r="B9" s="2">
        <v>150</v>
      </c>
      <c r="C9" s="12">
        <f t="shared" si="1"/>
        <v>41.666666666666664</v>
      </c>
      <c r="D9" s="2">
        <v>1.5</v>
      </c>
      <c r="E9" s="2">
        <v>5.3</v>
      </c>
      <c r="F9" s="13">
        <f t="shared" si="0"/>
        <v>226.28406708595386</v>
      </c>
    </row>
    <row r="10" spans="2:6" x14ac:dyDescent="0.3">
      <c r="B10" s="2">
        <v>160</v>
      </c>
      <c r="C10" s="12">
        <f t="shared" si="1"/>
        <v>44.444444444444443</v>
      </c>
      <c r="D10" s="2">
        <v>1.5</v>
      </c>
      <c r="E10" s="2">
        <v>5.3</v>
      </c>
      <c r="F10" s="13">
        <f t="shared" si="0"/>
        <v>253.01653855112974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3A00-B899-403C-9F87-C7C71E74C698}">
  <dimension ref="A1:I12"/>
  <sheetViews>
    <sheetView workbookViewId="0">
      <selection activeCell="A28" sqref="A28"/>
    </sheetView>
  </sheetViews>
  <sheetFormatPr defaultRowHeight="14.4" x14ac:dyDescent="0.3"/>
  <cols>
    <col min="1" max="1" width="21.44140625" bestFit="1" customWidth="1"/>
    <col min="2" max="3" width="9.88671875" bestFit="1" customWidth="1"/>
  </cols>
  <sheetData>
    <row r="1" spans="1:9" x14ac:dyDescent="0.3">
      <c r="A1" s="17" t="s">
        <v>41</v>
      </c>
      <c r="B1" s="18">
        <v>4</v>
      </c>
    </row>
    <row r="2" spans="1:9" x14ac:dyDescent="0.3">
      <c r="A2" s="17" t="s">
        <v>11</v>
      </c>
      <c r="B2" s="18">
        <v>718</v>
      </c>
    </row>
    <row r="3" spans="1:9" x14ac:dyDescent="0.3">
      <c r="A3" s="17" t="s">
        <v>63</v>
      </c>
      <c r="B3" s="18">
        <v>13322833</v>
      </c>
    </row>
    <row r="4" spans="1:9" x14ac:dyDescent="0.3">
      <c r="A4" s="17" t="s">
        <v>42</v>
      </c>
      <c r="B4" s="18">
        <v>0</v>
      </c>
    </row>
    <row r="6" spans="1:9" x14ac:dyDescent="0.3">
      <c r="A6" s="19" t="s">
        <v>43</v>
      </c>
      <c r="B6" s="19" t="s">
        <v>44</v>
      </c>
      <c r="C6" s="19" t="s">
        <v>45</v>
      </c>
      <c r="D6" s="19" t="s">
        <v>46</v>
      </c>
      <c r="E6" s="19" t="s">
        <v>47</v>
      </c>
      <c r="F6" s="19" t="s">
        <v>48</v>
      </c>
      <c r="G6" s="19" t="s">
        <v>49</v>
      </c>
      <c r="H6" s="19" t="s">
        <v>50</v>
      </c>
      <c r="I6" s="19" t="s">
        <v>51</v>
      </c>
    </row>
    <row r="7" spans="1:9" x14ac:dyDescent="0.3">
      <c r="A7" s="18" t="s">
        <v>52</v>
      </c>
      <c r="B7" s="18" t="s">
        <v>53</v>
      </c>
      <c r="C7" s="18">
        <v>718</v>
      </c>
      <c r="D7" s="18">
        <v>18555.477999999999</v>
      </c>
      <c r="E7" s="18">
        <v>84.114000000000004</v>
      </c>
      <c r="F7" s="18">
        <v>0.45</v>
      </c>
      <c r="G7" s="18">
        <v>18136</v>
      </c>
      <c r="H7" s="18">
        <v>18740</v>
      </c>
      <c r="I7" s="18">
        <v>18576.5</v>
      </c>
    </row>
    <row r="8" spans="1:9" x14ac:dyDescent="0.3">
      <c r="A8" s="18" t="s">
        <v>54</v>
      </c>
      <c r="B8" s="18" t="s">
        <v>55</v>
      </c>
      <c r="C8" s="18">
        <v>13322833</v>
      </c>
      <c r="D8" s="18">
        <v>18.885000000000002</v>
      </c>
      <c r="E8" s="18">
        <v>9.76</v>
      </c>
      <c r="F8" s="18">
        <v>51.68</v>
      </c>
      <c r="G8" s="18">
        <v>4.5</v>
      </c>
      <c r="H8" s="18">
        <v>268.09399999999999</v>
      </c>
      <c r="I8" s="18">
        <v>17.210999999999999</v>
      </c>
    </row>
    <row r="9" spans="1:9" x14ac:dyDescent="0.3">
      <c r="A9" s="18" t="s">
        <v>56</v>
      </c>
      <c r="B9" s="18" t="s">
        <v>57</v>
      </c>
      <c r="C9" s="18">
        <v>718</v>
      </c>
      <c r="D9" s="18">
        <v>73.468999999999994</v>
      </c>
      <c r="E9" s="18">
        <v>0.02</v>
      </c>
      <c r="F9" s="18">
        <v>0.03</v>
      </c>
      <c r="G9" s="18">
        <v>73.421999999999997</v>
      </c>
      <c r="H9" s="18">
        <v>73.581999999999994</v>
      </c>
      <c r="I9" s="18">
        <v>73.460999999999999</v>
      </c>
    </row>
    <row r="10" spans="1:9" x14ac:dyDescent="0.3">
      <c r="A10" s="18" t="s">
        <v>58</v>
      </c>
      <c r="B10" s="18" t="s">
        <v>59</v>
      </c>
      <c r="C10" s="18">
        <v>718</v>
      </c>
      <c r="D10" s="18">
        <v>29.672000000000001</v>
      </c>
      <c r="E10" s="18">
        <v>3.4000000000000002E-2</v>
      </c>
      <c r="F10" s="18">
        <v>0.12</v>
      </c>
      <c r="G10" s="18">
        <v>29.628</v>
      </c>
      <c r="H10" s="18">
        <v>29.751000000000001</v>
      </c>
      <c r="I10" s="18">
        <v>29.658000000000001</v>
      </c>
    </row>
    <row r="11" spans="1:9" x14ac:dyDescent="0.3">
      <c r="A11" s="18" t="s">
        <v>60</v>
      </c>
      <c r="B11" s="18" t="s">
        <v>61</v>
      </c>
      <c r="C11" s="18">
        <v>714</v>
      </c>
      <c r="D11" s="18">
        <v>2.4350000000000001</v>
      </c>
      <c r="E11" s="18">
        <v>0</v>
      </c>
      <c r="F11" s="18">
        <v>0</v>
      </c>
      <c r="G11" s="18">
        <v>2.4350000000000001</v>
      </c>
      <c r="H11" s="18">
        <v>2.4350000000000001</v>
      </c>
      <c r="I11" s="18">
        <v>2.4350000000000001</v>
      </c>
    </row>
    <row r="12" spans="1:9" x14ac:dyDescent="0.3">
      <c r="A12" s="18" t="s">
        <v>62</v>
      </c>
      <c r="B12" s="18" t="s">
        <v>53</v>
      </c>
      <c r="C12" s="18">
        <v>714</v>
      </c>
      <c r="D12" s="18">
        <v>0.41099999999999998</v>
      </c>
      <c r="E12" s="18">
        <v>0</v>
      </c>
      <c r="F12" s="18">
        <v>0</v>
      </c>
      <c r="G12" s="18">
        <v>0.41099999999999998</v>
      </c>
      <c r="H12" s="18">
        <v>0.41099999999999998</v>
      </c>
      <c r="I12" s="18">
        <v>0.41099999999999998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Summery</vt:lpstr>
      <vt:lpstr>data from video</vt:lpstr>
      <vt:lpstr>cal for range</vt:lpstr>
      <vt:lpstr>data sanity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Pravin Pramod Honmute</cp:lastModifiedBy>
  <dcterms:created xsi:type="dcterms:W3CDTF">2015-06-05T18:19:34Z</dcterms:created>
  <dcterms:modified xsi:type="dcterms:W3CDTF">2026-10-21T16:17:41Z</dcterms:modified>
</cp:coreProperties>
</file>